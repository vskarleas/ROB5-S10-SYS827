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silisskarleas/Library/Mobile Documents/com~apple~CloudDocs/Documents/ETS University/SYS827/Project/"/>
    </mc:Choice>
  </mc:AlternateContent>
  <xr:revisionPtr revIDLastSave="0" documentId="13_ncr:1_{0F410EB4-BFF3-3244-A97B-2ADC0CD5D6B8}" xr6:coauthVersionLast="47" xr6:coauthVersionMax="47" xr10:uidLastSave="{00000000-0000-0000-0000-000000000000}"/>
  <bookViews>
    <workbookView xWindow="-560" yWindow="2780" windowWidth="32900" windowHeight="16260" xr2:uid="{00000000-000D-0000-FFFF-FFFF00000000}"/>
  </bookViews>
  <sheets>
    <sheet name="DH Parameter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58" i="1" l="1"/>
  <c r="O58" i="1"/>
  <c r="P58" i="1"/>
  <c r="P50" i="1"/>
  <c r="P42" i="1"/>
  <c r="P34" i="1"/>
  <c r="O34" i="1"/>
  <c r="N34" i="1"/>
  <c r="P26" i="1"/>
  <c r="O26" i="1"/>
  <c r="N26" i="1"/>
  <c r="O7" i="1"/>
  <c r="P25" i="1" s="1"/>
  <c r="O8" i="1"/>
  <c r="O33" i="1" s="1"/>
  <c r="O9" i="1"/>
  <c r="O10" i="1"/>
  <c r="O11" i="1"/>
  <c r="M56" i="1" s="1"/>
  <c r="O6" i="1"/>
  <c r="P18" i="1"/>
  <c r="AD39" i="1" s="1"/>
  <c r="R10" i="1"/>
  <c r="O50" i="1" s="1"/>
  <c r="R9" i="1"/>
  <c r="N42" i="1" s="1"/>
  <c r="R6" i="1"/>
  <c r="O18" i="1" s="1"/>
  <c r="N18" i="1" l="1"/>
  <c r="N40" i="1"/>
  <c r="O42" i="1"/>
  <c r="N50" i="1"/>
  <c r="O48" i="1"/>
  <c r="O17" i="1"/>
  <c r="N24" i="1"/>
  <c r="N25" i="1"/>
  <c r="M24" i="1"/>
  <c r="M25" i="1"/>
  <c r="O49" i="1"/>
  <c r="N48" i="1"/>
  <c r="P49" i="1"/>
  <c r="M48" i="1"/>
  <c r="M49" i="1"/>
  <c r="P48" i="1"/>
  <c r="N49" i="1"/>
  <c r="O32" i="1"/>
  <c r="O24" i="1"/>
  <c r="O25" i="1"/>
  <c r="P24" i="1"/>
  <c r="M57" i="1"/>
  <c r="P56" i="1"/>
  <c r="N57" i="1"/>
  <c r="O56" i="1"/>
  <c r="O57" i="1"/>
  <c r="N56" i="1"/>
  <c r="P57" i="1"/>
  <c r="M41" i="1"/>
  <c r="O40" i="1"/>
  <c r="P41" i="1"/>
  <c r="M40" i="1"/>
  <c r="P40" i="1"/>
  <c r="N41" i="1"/>
  <c r="O41" i="1"/>
  <c r="P33" i="1"/>
  <c r="M33" i="1"/>
  <c r="N32" i="1"/>
  <c r="N33" i="1"/>
  <c r="P32" i="1"/>
  <c r="M32" i="1"/>
  <c r="O16" i="1"/>
  <c r="P16" i="1"/>
  <c r="AB39" i="1" s="1"/>
  <c r="P17" i="1"/>
  <c r="AC39" i="1" s="1"/>
  <c r="M17" i="1"/>
  <c r="M16" i="1"/>
  <c r="N16" i="1"/>
  <c r="N17" i="1"/>
  <c r="V24" i="1" l="1" a="1"/>
  <c r="V24" i="1" s="1"/>
  <c r="Y26" i="1" l="1"/>
  <c r="AD40" i="1" s="1"/>
  <c r="V25" i="1"/>
  <c r="Y27" i="1"/>
  <c r="X26" i="1"/>
  <c r="X25" i="1"/>
  <c r="W24" i="1"/>
  <c r="W27" i="1"/>
  <c r="V26" i="1"/>
  <c r="W25" i="1"/>
  <c r="X24" i="1"/>
  <c r="V27" i="1"/>
  <c r="Y25" i="1"/>
  <c r="AC40" i="1" s="1"/>
  <c r="Y24" i="1"/>
  <c r="AB40" i="1" s="1"/>
  <c r="X27" i="1"/>
  <c r="W26" i="1"/>
  <c r="V32" i="1" l="1" a="1"/>
  <c r="V32" i="1" s="1"/>
  <c r="Y34" i="1" l="1"/>
  <c r="AD41" i="1" s="1"/>
  <c r="Y35" i="1"/>
  <c r="X34" i="1"/>
  <c r="W34" i="1"/>
  <c r="V34" i="1"/>
  <c r="Y33" i="1"/>
  <c r="AC41" i="1" s="1"/>
  <c r="X33" i="1"/>
  <c r="W33" i="1"/>
  <c r="V33" i="1"/>
  <c r="Y32" i="1"/>
  <c r="AB41" i="1" s="1"/>
  <c r="X32" i="1"/>
  <c r="W32" i="1"/>
  <c r="X35" i="1"/>
  <c r="W35" i="1"/>
  <c r="V35" i="1"/>
  <c r="V40" i="1" l="1" a="1"/>
  <c r="Y43" i="1" s="1"/>
  <c r="W42" i="1" l="1"/>
  <c r="V42" i="1"/>
  <c r="Y41" i="1"/>
  <c r="AC42" i="1" s="1"/>
  <c r="V40" i="1"/>
  <c r="V41" i="1"/>
  <c r="X41" i="1"/>
  <c r="Y40" i="1"/>
  <c r="AB42" i="1" s="1"/>
  <c r="W43" i="1"/>
  <c r="Y42" i="1"/>
  <c r="AD42" i="1" s="1"/>
  <c r="W40" i="1"/>
  <c r="W41" i="1"/>
  <c r="X40" i="1"/>
  <c r="X43" i="1"/>
  <c r="V43" i="1"/>
  <c r="X42" i="1"/>
  <c r="V48" i="1" l="1" a="1"/>
  <c r="X51" i="1" s="1"/>
  <c r="V50" i="1" l="1"/>
  <c r="X48" i="1"/>
  <c r="Y49" i="1"/>
  <c r="AC43" i="1" s="1"/>
  <c r="Y51" i="1"/>
  <c r="V48" i="1"/>
  <c r="W50" i="1"/>
  <c r="X50" i="1"/>
  <c r="Y50" i="1"/>
  <c r="AD43" i="1" s="1"/>
  <c r="W48" i="1"/>
  <c r="X49" i="1"/>
  <c r="W51" i="1"/>
  <c r="W49" i="1"/>
  <c r="V51" i="1"/>
  <c r="Y48" i="1"/>
  <c r="AB43" i="1" s="1"/>
  <c r="V49" i="1"/>
  <c r="V56" i="1" l="1" a="1"/>
  <c r="V56" i="1" s="1"/>
  <c r="X56" i="1" l="1"/>
  <c r="X57" i="1"/>
  <c r="V59" i="1"/>
  <c r="W58" i="1"/>
  <c r="Y59" i="1"/>
  <c r="Y58" i="1"/>
  <c r="AD44" i="1" s="1"/>
  <c r="X59" i="1"/>
  <c r="W56" i="1"/>
  <c r="Y57" i="1"/>
  <c r="AC44" i="1" s="1"/>
  <c r="Y56" i="1"/>
  <c r="AB44" i="1" s="1"/>
  <c r="V58" i="1"/>
  <c r="W59" i="1"/>
  <c r="X58" i="1"/>
  <c r="W57" i="1"/>
  <c r="V57" i="1"/>
  <c r="AB48" i="1" l="1"/>
  <c r="AB49" i="1" s="1"/>
  <c r="AD48" i="1" l="1"/>
  <c r="AD49" i="1" s="1"/>
  <c r="AC48" i="1"/>
  <c r="AC49" i="1" s="1"/>
</calcChain>
</file>

<file path=xl/sharedStrings.xml><?xml version="1.0" encoding="utf-8"?>
<sst xmlns="http://schemas.openxmlformats.org/spreadsheetml/2006/main" count="36" uniqueCount="35">
  <si>
    <t>Kinematics</t>
  </si>
  <si>
    <t>a [m]</t>
  </si>
  <si>
    <t>d [m]</t>
  </si>
  <si>
    <t>Θ [rad]</t>
  </si>
  <si>
    <t>α [rad]</t>
  </si>
  <si>
    <t>Θ [Grad]</t>
  </si>
  <si>
    <t>Denavit-Hartenberg-Parameter</t>
  </si>
  <si>
    <t>Joint 1 (Base)</t>
  </si>
  <si>
    <t>Joint 2 (Shoulder)</t>
  </si>
  <si>
    <t>Joint 3 (Elbow)</t>
  </si>
  <si>
    <t>Joint 4 (Wirst 1)</t>
  </si>
  <si>
    <t>Joint 5 (Wrist 2)</t>
  </si>
  <si>
    <t>Joint 6 (Wrist 3)</t>
  </si>
  <si>
    <t>0T1</t>
  </si>
  <si>
    <t>1T2</t>
  </si>
  <si>
    <t>2T3</t>
  </si>
  <si>
    <t>3T4</t>
  </si>
  <si>
    <t>4T5</t>
  </si>
  <si>
    <t>5T6</t>
  </si>
  <si>
    <t>←</t>
  </si>
  <si>
    <t>X</t>
  </si>
  <si>
    <t>Y</t>
  </si>
  <si>
    <t>Z</t>
  </si>
  <si>
    <t>beta</t>
  </si>
  <si>
    <t>alpha</t>
  </si>
  <si>
    <t>gamma</t>
  </si>
  <si>
    <t>Joint angle in rad</t>
  </si>
  <si>
    <t>DH-Parameter from UR Supportwebsite</t>
  </si>
  <si>
    <r>
      <rPr>
        <sz val="11"/>
        <color theme="0"/>
        <rFont val="Calibri"/>
        <family val="2"/>
      </rPr>
      <t xml:space="preserve">← </t>
    </r>
    <r>
      <rPr>
        <sz val="11"/>
        <color theme="0"/>
        <rFont val="Calibri"/>
        <family val="2"/>
        <scheme val="minor"/>
      </rPr>
      <t>Mulitplicated Denavit-Hartenberg transformation matrix 5T6</t>
    </r>
  </si>
  <si>
    <t>← Mulitplicated Denavit-Hartenberg transformation matrix 4T5</t>
  </si>
  <si>
    <t>← Mulitplicated Denavit-Hartenberg transformation matrix 3T4</t>
  </si>
  <si>
    <t>←Mulitplicated Denavit-Hartenberg transformation…</t>
  </si>
  <si>
    <t>← Mulitplicated Denavit…</t>
  </si>
  <si>
    <t>Sven Krüger - February 2021 - © by Universal Robots all rights reserved</t>
  </si>
  <si>
    <t>UR5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</si>
</sst>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03030"/>
      <name val="Roboto"/>
    </font>
    <font>
      <b/>
      <sz val="10"/>
      <color rgb="FF303030"/>
      <name val="Roboto"/>
    </font>
    <font>
      <b/>
      <sz val="12"/>
      <color rgb="FF303030"/>
      <name val="Roboto"/>
    </font>
    <font>
      <sz val="10"/>
      <color theme="0"/>
      <name val="Roboto"/>
    </font>
    <font>
      <sz val="11"/>
      <color theme="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  <xf numFmtId="0" fontId="0" fillId="6" borderId="0" xfId="0" applyFill="1"/>
    <xf numFmtId="0" fontId="0" fillId="6" borderId="1" xfId="0" applyFill="1" applyBorder="1"/>
    <xf numFmtId="164" fontId="0" fillId="6" borderId="1" xfId="0" applyNumberFormat="1" applyFill="1" applyBorder="1"/>
    <xf numFmtId="0" fontId="0" fillId="7" borderId="0" xfId="0" applyFill="1"/>
    <xf numFmtId="0" fontId="0" fillId="7" borderId="1" xfId="0" applyFill="1" applyBorder="1"/>
    <xf numFmtId="164" fontId="0" fillId="7" borderId="1" xfId="0" applyNumberFormat="1" applyFill="1" applyBorder="1"/>
    <xf numFmtId="0" fontId="1" fillId="0" borderId="0" xfId="0" applyFont="1"/>
    <xf numFmtId="0" fontId="4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0" fontId="0" fillId="8" borderId="0" xfId="0" applyFill="1"/>
    <xf numFmtId="0" fontId="0" fillId="5" borderId="0" xfId="0" applyFill="1" applyAlignment="1">
      <alignment textRotation="90"/>
    </xf>
    <xf numFmtId="0" fontId="0" fillId="3" borderId="0" xfId="0" applyFill="1" applyAlignment="1">
      <alignment textRotation="90"/>
    </xf>
    <xf numFmtId="0" fontId="1" fillId="8" borderId="4" xfId="0" applyFont="1" applyFill="1" applyBorder="1"/>
    <xf numFmtId="164" fontId="1" fillId="8" borderId="4" xfId="0" applyNumberFormat="1" applyFont="1" applyFill="1" applyBorder="1"/>
    <xf numFmtId="0" fontId="1" fillId="0" borderId="2" xfId="0" applyFont="1" applyBorder="1"/>
    <xf numFmtId="165" fontId="0" fillId="0" borderId="1" xfId="0" applyNumberFormat="1" applyBorder="1"/>
    <xf numFmtId="165" fontId="0" fillId="0" borderId="0" xfId="0" applyNumberFormat="1"/>
    <xf numFmtId="165" fontId="7" fillId="0" borderId="1" xfId="0" applyNumberFormat="1" applyFont="1" applyBorder="1"/>
    <xf numFmtId="165" fontId="8" fillId="0" borderId="1" xfId="0" applyNumberFormat="1" applyFont="1" applyBorder="1"/>
    <xf numFmtId="165" fontId="9" fillId="0" borderId="1" xfId="0" applyNumberFormat="1" applyFont="1" applyBorder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7" fillId="0" borderId="5" xfId="0" applyNumberFormat="1" applyFont="1" applyBorder="1"/>
    <xf numFmtId="165" fontId="8" fillId="0" borderId="5" xfId="0" applyNumberFormat="1" applyFont="1" applyBorder="1"/>
    <xf numFmtId="165" fontId="9" fillId="0" borderId="5" xfId="0" applyNumberFormat="1" applyFon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165" fontId="0" fillId="0" borderId="13" xfId="0" applyNumberFormat="1" applyBorder="1"/>
    <xf numFmtId="165" fontId="0" fillId="0" borderId="14" xfId="0" applyNumberFormat="1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8" borderId="0" xfId="0" applyFont="1" applyFill="1" applyAlignment="1">
      <alignment horizontal="center" textRotation="90"/>
    </xf>
    <xf numFmtId="0" fontId="0" fillId="7" borderId="0" xfId="0" applyFill="1" applyAlignment="1">
      <alignment horizontal="center" textRotation="90"/>
    </xf>
    <xf numFmtId="0" fontId="0" fillId="4" borderId="0" xfId="0" applyFill="1" applyAlignment="1">
      <alignment horizontal="center" textRotation="90"/>
    </xf>
    <xf numFmtId="0" fontId="0" fillId="5" borderId="0" xfId="0" applyFill="1" applyAlignment="1">
      <alignment horizontal="center" textRotation="90"/>
    </xf>
    <xf numFmtId="0" fontId="0" fillId="6" borderId="0" xfId="0" applyFill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1"/>
          <c:xVal>
            <c:numRef>
              <c:f>'DH Parameters'!$AB$39:$AB$44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-0.42499999999999999</c:v>
                </c:pt>
                <c:pt idx="2">
                  <c:v>-0.81725000000000003</c:v>
                </c:pt>
                <c:pt idx="3">
                  <c:v>-0.81725000000000003</c:v>
                </c:pt>
                <c:pt idx="4">
                  <c:v>-0.81725000000000003</c:v>
                </c:pt>
                <c:pt idx="5">
                  <c:v>-0.81725000000000003</c:v>
                </c:pt>
              </c:numCache>
            </c:numRef>
          </c:xVal>
          <c:yVal>
            <c:numRef>
              <c:f>'DH Parameters'!$AC$39:$AC$44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-0.10915</c:v>
                </c:pt>
                <c:pt idx="4">
                  <c:v>-0.10915000000000001</c:v>
                </c:pt>
                <c:pt idx="5">
                  <c:v>-0.19145000000000001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F4-40CC-9968-A5B258EA7BD2}"/>
            </c:ext>
          </c:extLst>
        </c:ser>
        <c:ser>
          <c:idx val="1"/>
          <c:order val="0"/>
          <c:spPr>
            <a:ln w="254000"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20"/>
            <c:spPr>
              <a:solidFill>
                <a:srgbClr val="99CCFF"/>
              </a:solidFill>
              <a:ln>
                <a:solidFill>
                  <a:schemeClr val="bg1">
                    <a:lumMod val="65000"/>
                  </a:schemeClr>
                </a:solidFill>
              </a:ln>
            </c:spPr>
          </c:marker>
          <c:xVal>
            <c:numRef>
              <c:f>'DH Parameters'!$AB$39:$AB$44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-0.42499999999999999</c:v>
                </c:pt>
                <c:pt idx="2">
                  <c:v>-0.81725000000000003</c:v>
                </c:pt>
                <c:pt idx="3">
                  <c:v>-0.81725000000000003</c:v>
                </c:pt>
                <c:pt idx="4">
                  <c:v>-0.81725000000000003</c:v>
                </c:pt>
                <c:pt idx="5">
                  <c:v>-0.81725000000000003</c:v>
                </c:pt>
              </c:numCache>
            </c:numRef>
          </c:xVal>
          <c:yVal>
            <c:numRef>
              <c:f>'DH Parameters'!$AC$39:$AC$44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-0.10915</c:v>
                </c:pt>
                <c:pt idx="4">
                  <c:v>-0.10915000000000001</c:v>
                </c:pt>
                <c:pt idx="5">
                  <c:v>-0.19145000000000001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F4-40CC-9968-A5B258EA7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FF0000"/>
            </a:solidFill>
          </a:ln>
        </c:spPr>
        <c:txPr>
          <a:bodyPr/>
          <a:lstStyle/>
          <a:p>
            <a:pPr>
              <a:defRPr>
                <a:solidFill>
                  <a:srgbClr val="FF0000"/>
                </a:solidFill>
              </a:defRPr>
            </a:pPr>
            <a:endParaRPr lang="pt-BR"/>
          </a:p>
        </c:txPr>
        <c:crossAx val="215517440"/>
        <c:crosses val="autoZero"/>
        <c:crossBetween val="midCat"/>
        <c:majorUnit val="0.2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00B050"/>
            </a:solidFill>
          </a:ln>
        </c:spPr>
        <c:txPr>
          <a:bodyPr/>
          <a:lstStyle/>
          <a:p>
            <a:pPr>
              <a:defRPr>
                <a:solidFill>
                  <a:srgbClr val="00B050"/>
                </a:solidFill>
              </a:defRPr>
            </a:pPr>
            <a:endParaRPr lang="pt-BR"/>
          </a:p>
        </c:txPr>
        <c:crossAx val="215515520"/>
        <c:crosses val="autoZero"/>
        <c:crossBetween val="midCat"/>
        <c:majorUnit val="0.2"/>
        <c:minorUnit val="0.1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20"/>
            <c:spPr>
              <a:solidFill>
                <a:srgbClr val="99CCFF"/>
              </a:solidFill>
              <a:ln>
                <a:solidFill>
                  <a:schemeClr val="bg1">
                    <a:lumMod val="65000"/>
                  </a:schemeClr>
                </a:solidFill>
              </a:ln>
            </c:spPr>
          </c:marker>
          <c:xVal>
            <c:numRef>
              <c:f>'DH Parameters'!$AB$39:$AB$44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-0.42499999999999999</c:v>
                </c:pt>
                <c:pt idx="2">
                  <c:v>-0.81725000000000003</c:v>
                </c:pt>
                <c:pt idx="3">
                  <c:v>-0.81725000000000003</c:v>
                </c:pt>
                <c:pt idx="4">
                  <c:v>-0.81725000000000003</c:v>
                </c:pt>
                <c:pt idx="5">
                  <c:v>-0.81725000000000003</c:v>
                </c:pt>
              </c:numCache>
            </c:numRef>
          </c:xVal>
          <c:yVal>
            <c:numRef>
              <c:f>'DH Parameters'!$AD$39:$AD$44</c:f>
              <c:numCache>
                <c:formatCode>0.00000</c:formatCode>
                <c:ptCount val="6"/>
                <c:pt idx="0" formatCode="General">
                  <c:v>8.9159000000000002E-2</c:v>
                </c:pt>
                <c:pt idx="1">
                  <c:v>8.9159000000000002E-2</c:v>
                </c:pt>
                <c:pt idx="2">
                  <c:v>8.9159000000000002E-2</c:v>
                </c:pt>
                <c:pt idx="3">
                  <c:v>8.9159000000000002E-2</c:v>
                </c:pt>
                <c:pt idx="4">
                  <c:v>-5.4909999999999959E-3</c:v>
                </c:pt>
                <c:pt idx="5">
                  <c:v>-5.4909999999999907E-3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7-44FC-AEE9-EEAE87019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FF0000"/>
            </a:solidFill>
          </a:ln>
        </c:spPr>
        <c:txPr>
          <a:bodyPr/>
          <a:lstStyle/>
          <a:p>
            <a:pPr>
              <a:defRPr>
                <a:solidFill>
                  <a:srgbClr val="FF0000"/>
                </a:solidFill>
              </a:defRPr>
            </a:pPr>
            <a:endParaRPr lang="pt-BR"/>
          </a:p>
        </c:txPr>
        <c:crossAx val="215534976"/>
        <c:crosses val="autoZero"/>
        <c:crossBetween val="midCat"/>
        <c:majorUnit val="0.2"/>
      </c:valAx>
      <c:valAx>
        <c:axId val="215534976"/>
        <c:scaling>
          <c:orientation val="minMax"/>
          <c:max val="0.9"/>
          <c:min val="-0.9"/>
        </c:scaling>
        <c:delete val="0"/>
        <c:axPos val="r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0000FF"/>
            </a:solidFill>
          </a:ln>
        </c:spPr>
        <c:txPr>
          <a:bodyPr/>
          <a:lstStyle/>
          <a:p>
            <a:pPr>
              <a:defRPr>
                <a:solidFill>
                  <a:srgbClr val="0000FF"/>
                </a:solidFill>
              </a:defRPr>
            </a:pPr>
            <a:endParaRPr lang="pt-BR"/>
          </a:p>
        </c:txPr>
        <c:crossAx val="215533056"/>
        <c:crosses val="autoZero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20"/>
            <c:spPr>
              <a:solidFill>
                <a:srgbClr val="99CCFF"/>
              </a:solidFill>
              <a:ln>
                <a:solidFill>
                  <a:schemeClr val="bg1">
                    <a:lumMod val="65000"/>
                  </a:schemeClr>
                </a:solidFill>
              </a:ln>
            </c:spPr>
          </c:marker>
          <c:xVal>
            <c:numRef>
              <c:f>'DH Parameters'!$AC$39:$AC$44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-0.10915</c:v>
                </c:pt>
                <c:pt idx="4">
                  <c:v>-0.10915000000000001</c:v>
                </c:pt>
                <c:pt idx="5">
                  <c:v>-0.19145000000000001</c:v>
                </c:pt>
              </c:numCache>
            </c:numRef>
          </c:xVal>
          <c:yVal>
            <c:numRef>
              <c:f>'DH Parameters'!$AD$39:$AD$44</c:f>
              <c:numCache>
                <c:formatCode>0.00000</c:formatCode>
                <c:ptCount val="6"/>
                <c:pt idx="0" formatCode="General">
                  <c:v>8.9159000000000002E-2</c:v>
                </c:pt>
                <c:pt idx="1">
                  <c:v>8.9159000000000002E-2</c:v>
                </c:pt>
                <c:pt idx="2">
                  <c:v>8.9159000000000002E-2</c:v>
                </c:pt>
                <c:pt idx="3">
                  <c:v>8.9159000000000002E-2</c:v>
                </c:pt>
                <c:pt idx="4">
                  <c:v>-5.4909999999999959E-3</c:v>
                </c:pt>
                <c:pt idx="5">
                  <c:v>-5.4909999999999907E-3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D-4FB5-88AA-921C68758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B050"/>
            </a:solidFill>
          </a:ln>
        </c:spPr>
        <c:txPr>
          <a:bodyPr/>
          <a:lstStyle/>
          <a:p>
            <a:pPr>
              <a:defRPr>
                <a:solidFill>
                  <a:srgbClr val="00B050"/>
                </a:solidFill>
              </a:defRPr>
            </a:pPr>
            <a:endParaRPr lang="pt-BR"/>
          </a:p>
        </c:txPr>
        <c:crossAx val="216633728"/>
        <c:crosses val="autoZero"/>
        <c:crossBetween val="midCat"/>
        <c:majorUnit val="0.2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0000FF"/>
            </a:solidFill>
          </a:ln>
        </c:spPr>
        <c:txPr>
          <a:bodyPr/>
          <a:lstStyle/>
          <a:p>
            <a:pPr>
              <a:defRPr>
                <a:solidFill>
                  <a:srgbClr val="0000FF"/>
                </a:solidFill>
              </a:defRPr>
            </a:pPr>
            <a:endParaRPr lang="pt-BR"/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20" fmlaLink="$N$6" horiz="1" max="360" page="10" val="0"/>
</file>

<file path=xl/ctrlProps/ctrlProp2.xml><?xml version="1.0" encoding="utf-8"?>
<formControlPr xmlns="http://schemas.microsoft.com/office/spreadsheetml/2009/9/main" objectType="Scroll" dx="20" fmlaLink="$N$7" horiz="1" max="360" page="10" val="0"/>
</file>

<file path=xl/ctrlProps/ctrlProp3.xml><?xml version="1.0" encoding="utf-8"?>
<formControlPr xmlns="http://schemas.microsoft.com/office/spreadsheetml/2009/9/main" objectType="Scroll" dx="20" fmlaLink="$N$8" horiz="1" max="360" page="10" val="0"/>
</file>

<file path=xl/ctrlProps/ctrlProp4.xml><?xml version="1.0" encoding="utf-8"?>
<formControlPr xmlns="http://schemas.microsoft.com/office/spreadsheetml/2009/9/main" objectType="Scroll" dx="20" fmlaLink="$N$10" horiz="1" max="360" page="10" val="0"/>
</file>

<file path=xl/ctrlProps/ctrlProp5.xml><?xml version="1.0" encoding="utf-8"?>
<formControlPr xmlns="http://schemas.microsoft.com/office/spreadsheetml/2009/9/main" objectType="Scroll" dx="20" fmlaLink="$N$9" horiz="1" max="360" page="10" val="0"/>
</file>

<file path=xl/ctrlProps/ctrlProp6.xml><?xml version="1.0" encoding="utf-8"?>
<formControlPr xmlns="http://schemas.microsoft.com/office/spreadsheetml/2009/9/main" objectType="Scroll" dx="20" fmlaLink="$N$11" horiz="1" max="360" page="10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microsoft.com/office/2007/relationships/hdphoto" Target="../media/hdphoto2.wdp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microsoft.com/office/2007/relationships/hdphoto" Target="../media/hdphoto1.wdp"/><Relationship Id="rId4" Type="http://schemas.openxmlformats.org/officeDocument/2006/relationships/image" Target="../media/image1.png"/><Relationship Id="rId9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228599</xdr:colOff>
      <xdr:row>4</xdr:row>
      <xdr:rowOff>11430</xdr:rowOff>
    </xdr:from>
    <xdr:to>
      <xdr:col>33</xdr:col>
      <xdr:colOff>94574</xdr:colOff>
      <xdr:row>33</xdr:row>
      <xdr:rowOff>58380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4</xdr:row>
      <xdr:rowOff>21772</xdr:rowOff>
    </xdr:from>
    <xdr:to>
      <xdr:col>40</xdr:col>
      <xdr:colOff>279631</xdr:colOff>
      <xdr:row>33</xdr:row>
      <xdr:rowOff>68722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4</xdr:row>
      <xdr:rowOff>0</xdr:rowOff>
    </xdr:from>
    <xdr:to>
      <xdr:col>47</xdr:col>
      <xdr:colOff>542250</xdr:colOff>
      <xdr:row>33</xdr:row>
      <xdr:rowOff>46950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5</xdr:row>
          <xdr:rowOff>0</xdr:rowOff>
        </xdr:from>
        <xdr:to>
          <xdr:col>24</xdr:col>
          <xdr:colOff>0</xdr:colOff>
          <xdr:row>6</xdr:row>
          <xdr:rowOff>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24</xdr:col>
          <xdr:colOff>0</xdr:colOff>
          <xdr:row>7</xdr:row>
          <xdr:rowOff>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24</xdr:col>
          <xdr:colOff>0</xdr:colOff>
          <xdr:row>8</xdr:row>
          <xdr:rowOff>0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24</xdr:col>
          <xdr:colOff>0</xdr:colOff>
          <xdr:row>10</xdr:row>
          <xdr:rowOff>0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24</xdr:col>
          <xdr:colOff>0</xdr:colOff>
          <xdr:row>8</xdr:row>
          <xdr:rowOff>194235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24</xdr:col>
          <xdr:colOff>0</xdr:colOff>
          <xdr:row>11</xdr:row>
          <xdr:rowOff>0</xdr:rowOff>
        </xdr:to>
        <xdr:sp macro="" textlink="">
          <xdr:nvSpPr>
            <xdr:cNvPr id="1031" name="Scroll Bar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29</xdr:col>
      <xdr:colOff>333551</xdr:colOff>
      <xdr:row>17</xdr:row>
      <xdr:rowOff>19050</xdr:rowOff>
    </xdr:from>
    <xdr:to>
      <xdr:col>29</xdr:col>
      <xdr:colOff>781051</xdr:colOff>
      <xdr:row>19</xdr:row>
      <xdr:rowOff>112451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837" b="99882" l="4934" r="98917">
                      <a14:foregroundMark x1="4934" y1="49527" x2="5656" y2="44444"/>
                      <a14:foregroundMark x1="5656" y1="44681" x2="10469" y2="28605"/>
                      <a14:foregroundMark x1="12274" y1="24823" x2="12274" y2="24823"/>
                      <a14:foregroundMark x1="15162" y1="19858" x2="15162" y2="19858"/>
                      <a14:foregroundMark x1="16005" y1="3191" x2="16005" y2="3191"/>
                      <a14:foregroundMark x1="87846" y1="3783" x2="87846" y2="3783"/>
                      <a14:foregroundMark x1="89049" y1="19149" x2="89049" y2="19149"/>
                      <a14:foregroundMark x1="94224" y1="27305" x2="94224" y2="27305"/>
                      <a14:foregroundMark x1="98556" y1="40071" x2="98556" y2="40071"/>
                      <a14:foregroundMark x1="99037" y1="50827" x2="99037" y2="50827"/>
                      <a14:foregroundMark x1="97593" y1="61939" x2="97593" y2="61939"/>
                      <a14:foregroundMark x1="96149" y1="64894" x2="96149" y2="64894"/>
                      <a14:foregroundMark x1="94344" y1="69858" x2="94344" y2="69858"/>
                      <a14:foregroundMark x1="71600" y1="86407" x2="71600" y2="86407"/>
                      <a14:foregroundMark x1="31889" y1="87234" x2="72563" y2="89125"/>
                      <a14:foregroundMark x1="40072" y1="93972" x2="48616" y2="95154"/>
                      <a14:foregroundMark x1="48496" y1="97045" x2="48977" y2="9988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0800000">
          <a:off x="15221126" y="3209925"/>
          <a:ext cx="447500" cy="455351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 editAs="oneCell">
    <xdr:from>
      <xdr:col>43</xdr:col>
      <xdr:colOff>571829</xdr:colOff>
      <xdr:row>14</xdr:row>
      <xdr:rowOff>126124</xdr:rowOff>
    </xdr:from>
    <xdr:to>
      <xdr:col>44</xdr:col>
      <xdr:colOff>421976</xdr:colOff>
      <xdr:row>18</xdr:row>
      <xdr:rowOff>86187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4248" b="96670" l="0" r="97257">
                      <a14:foregroundMark x1="39776" y1="29966" x2="40773" y2="13088"/>
                      <a14:foregroundMark x1="41272" y1="12514" x2="47631" y2="8496"/>
                      <a14:foregroundMark x1="48753" y1="9070" x2="89027" y2="4248"/>
                      <a14:foregroundMark x1="88778" y1="5970" x2="92519" y2="11022"/>
                      <a14:foregroundMark x1="90524" y1="10792" x2="97257" y2="9759"/>
                      <a14:foregroundMark x1="40025" y1="57865" x2="40025" y2="67853"/>
                      <a14:foregroundMark x1="40150" y1="68427" x2="32544" y2="91734"/>
                      <a14:foregroundMark x1="32544" y1="92997" x2="0" y2="91963"/>
                      <a14:foregroundMark x1="873" y1="96670" x2="32419" y2="96556"/>
                    </a14:backgroundRemoval>
                  </a14:imgEffect>
                </a14:imgLayer>
              </a14:imgProps>
            </a:ext>
          </a:extLst>
        </a:blip>
        <a:srcRect t="629"/>
        <a:stretch/>
      </xdr:blipFill>
      <xdr:spPr>
        <a:xfrm>
          <a:off x="26616463" y="2774731"/>
          <a:ext cx="643679" cy="701042"/>
        </a:xfrm>
        <a:prstGeom prst="rect">
          <a:avLst/>
        </a:prstGeom>
      </xdr:spPr>
    </xdr:pic>
    <xdr:clientData/>
  </xdr:twoCellAnchor>
  <xdr:twoCellAnchor editAs="oneCell">
    <xdr:from>
      <xdr:col>36</xdr:col>
      <xdr:colOff>514949</xdr:colOff>
      <xdr:row>14</xdr:row>
      <xdr:rowOff>138553</xdr:rowOff>
    </xdr:from>
    <xdr:to>
      <xdr:col>37</xdr:col>
      <xdr:colOff>199698</xdr:colOff>
      <xdr:row>18</xdr:row>
      <xdr:rowOff>120841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5530" b="95737" l="3964" r="96216">
                      <a14:foregroundMark x1="13694" y1="21544" x2="13694" y2="21544"/>
                      <a14:foregroundMark x1="14414" y1="19700" x2="17297" y2="5760"/>
                      <a14:foregroundMark x1="14595" y1="24539" x2="15495" y2="65553"/>
                      <a14:foregroundMark x1="15135" y1="66475" x2="4144" y2="95276"/>
                      <a14:foregroundMark x1="7207" y1="95737" x2="96216" y2="95622"/>
                      <a14:foregroundMark x1="47027" y1="94009" x2="55315" y2="89055"/>
                    </a14:backgroundRemoval>
                  </a14:imgEffect>
                </a14:imgLayer>
              </a14:imgProps>
            </a:ext>
          </a:extLst>
        </a:blip>
        <a:srcRect l="-1" r="-2209"/>
        <a:stretch/>
      </xdr:blipFill>
      <xdr:spPr>
        <a:xfrm>
          <a:off x="21004866" y="2787160"/>
          <a:ext cx="478279" cy="723267"/>
        </a:xfrm>
        <a:prstGeom prst="rect">
          <a:avLst/>
        </a:prstGeom>
      </xdr:spPr>
    </xdr:pic>
    <xdr:clientData/>
  </xdr:twoCellAnchor>
  <xdr:twoCellAnchor>
    <xdr:from>
      <xdr:col>12</xdr:col>
      <xdr:colOff>851647</xdr:colOff>
      <xdr:row>19</xdr:row>
      <xdr:rowOff>8964</xdr:rowOff>
    </xdr:from>
    <xdr:to>
      <xdr:col>15</xdr:col>
      <xdr:colOff>304800</xdr:colOff>
      <xdr:row>21</xdr:row>
      <xdr:rowOff>98610</xdr:rowOff>
    </xdr:to>
    <xdr:sp macro="" textlink="">
      <xdr:nvSpPr>
        <xdr:cNvPr id="17" name="Pfeil nach unt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110753" y="3532093"/>
          <a:ext cx="2277035" cy="448235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de-DE" sz="1400"/>
            <a:t>* 1T2</a:t>
          </a:r>
        </a:p>
      </xdr:txBody>
    </xdr:sp>
    <xdr:clientData/>
  </xdr:twoCellAnchor>
  <xdr:twoCellAnchor>
    <xdr:from>
      <xdr:col>12</xdr:col>
      <xdr:colOff>842681</xdr:colOff>
      <xdr:row>27</xdr:row>
      <xdr:rowOff>9008</xdr:rowOff>
    </xdr:from>
    <xdr:to>
      <xdr:col>15</xdr:col>
      <xdr:colOff>295834</xdr:colOff>
      <xdr:row>29</xdr:row>
      <xdr:rowOff>98654</xdr:rowOff>
    </xdr:to>
    <xdr:sp macro="" textlink="">
      <xdr:nvSpPr>
        <xdr:cNvPr id="25" name="Pfeil nach unt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101787" y="4966490"/>
          <a:ext cx="2277035" cy="448235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de-DE" sz="1400">
              <a:solidFill>
                <a:schemeClr val="lt1"/>
              </a:solidFill>
              <a:latin typeface="+mn-lt"/>
              <a:ea typeface="+mn-ea"/>
              <a:cs typeface="+mn-cs"/>
            </a:rPr>
            <a:t>* 2T3</a:t>
          </a:r>
        </a:p>
      </xdr:txBody>
    </xdr:sp>
    <xdr:clientData/>
  </xdr:twoCellAnchor>
  <xdr:twoCellAnchor>
    <xdr:from>
      <xdr:col>12</xdr:col>
      <xdr:colOff>842680</xdr:colOff>
      <xdr:row>35</xdr:row>
      <xdr:rowOff>9053</xdr:rowOff>
    </xdr:from>
    <xdr:to>
      <xdr:col>15</xdr:col>
      <xdr:colOff>295833</xdr:colOff>
      <xdr:row>37</xdr:row>
      <xdr:rowOff>98699</xdr:rowOff>
    </xdr:to>
    <xdr:sp macro="" textlink="">
      <xdr:nvSpPr>
        <xdr:cNvPr id="27" name="Pfeil nach unt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101786" y="6400888"/>
          <a:ext cx="2277035" cy="448235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de-DE" sz="1400">
              <a:solidFill>
                <a:schemeClr val="lt1"/>
              </a:solidFill>
              <a:latin typeface="+mn-lt"/>
              <a:ea typeface="+mn-ea"/>
              <a:cs typeface="+mn-cs"/>
            </a:rPr>
            <a:t>* 3T4</a:t>
          </a:r>
        </a:p>
      </xdr:txBody>
    </xdr:sp>
    <xdr:clientData/>
  </xdr:twoCellAnchor>
  <xdr:twoCellAnchor>
    <xdr:from>
      <xdr:col>12</xdr:col>
      <xdr:colOff>842681</xdr:colOff>
      <xdr:row>43</xdr:row>
      <xdr:rowOff>9006</xdr:rowOff>
    </xdr:from>
    <xdr:to>
      <xdr:col>15</xdr:col>
      <xdr:colOff>295834</xdr:colOff>
      <xdr:row>45</xdr:row>
      <xdr:rowOff>98653</xdr:rowOff>
    </xdr:to>
    <xdr:sp macro="" textlink="">
      <xdr:nvSpPr>
        <xdr:cNvPr id="28" name="Pfeil nach unt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3101787" y="7835194"/>
          <a:ext cx="2277035" cy="448235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de-DE" sz="1400">
              <a:solidFill>
                <a:schemeClr val="lt1"/>
              </a:solidFill>
              <a:latin typeface="+mn-lt"/>
              <a:ea typeface="+mn-ea"/>
              <a:cs typeface="+mn-cs"/>
            </a:rPr>
            <a:t>* 4T5</a:t>
          </a:r>
        </a:p>
      </xdr:txBody>
    </xdr:sp>
    <xdr:clientData/>
  </xdr:twoCellAnchor>
  <xdr:twoCellAnchor>
    <xdr:from>
      <xdr:col>12</xdr:col>
      <xdr:colOff>842681</xdr:colOff>
      <xdr:row>51</xdr:row>
      <xdr:rowOff>9048</xdr:rowOff>
    </xdr:from>
    <xdr:to>
      <xdr:col>15</xdr:col>
      <xdr:colOff>295834</xdr:colOff>
      <xdr:row>53</xdr:row>
      <xdr:rowOff>98695</xdr:rowOff>
    </xdr:to>
    <xdr:sp macro="" textlink="">
      <xdr:nvSpPr>
        <xdr:cNvPr id="29" name="Pfeil nach unt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3101787" y="9269589"/>
          <a:ext cx="2277035" cy="448235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de-DE" sz="1400">
              <a:solidFill>
                <a:schemeClr val="lt1"/>
              </a:solidFill>
              <a:latin typeface="+mn-lt"/>
              <a:ea typeface="+mn-ea"/>
              <a:cs typeface="+mn-cs"/>
            </a:rPr>
            <a:t>* 5T6</a:t>
          </a:r>
        </a:p>
      </xdr:txBody>
    </xdr:sp>
    <xdr:clientData/>
  </xdr:twoCellAnchor>
  <xdr:twoCellAnchor>
    <xdr:from>
      <xdr:col>16</xdr:col>
      <xdr:colOff>26899</xdr:colOff>
      <xdr:row>53</xdr:row>
      <xdr:rowOff>179291</xdr:rowOff>
    </xdr:from>
    <xdr:to>
      <xdr:col>20</xdr:col>
      <xdr:colOff>161372</xdr:colOff>
      <xdr:row>60</xdr:row>
      <xdr:rowOff>8963</xdr:rowOff>
    </xdr:to>
    <xdr:sp macro="" textlink="">
      <xdr:nvSpPr>
        <xdr:cNvPr id="30" name="Pfeil nach unt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 rot="16200000">
          <a:off x="6391840" y="9305361"/>
          <a:ext cx="1102661" cy="2088779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t"/>
        <a:lstStyle/>
        <a:p>
          <a:pPr marL="0" indent="0" algn="ctr"/>
          <a:r>
            <a:rPr lang="de-DE" sz="1100">
              <a:solidFill>
                <a:schemeClr val="lt1"/>
              </a:solidFill>
              <a:latin typeface="+mn-lt"/>
              <a:ea typeface="+mn-ea"/>
              <a:cs typeface="+mn-cs"/>
            </a:rPr>
            <a:t>Result </a:t>
          </a:r>
        </a:p>
        <a:p>
          <a:pPr marL="0" indent="0" algn="ctr"/>
          <a:r>
            <a:rPr lang="de-DE" sz="1100">
              <a:solidFill>
                <a:schemeClr val="lt1"/>
              </a:solidFill>
              <a:latin typeface="+mn-lt"/>
              <a:ea typeface="+mn-ea"/>
              <a:cs typeface="+mn-cs"/>
            </a:rPr>
            <a:t>0T1*1T2*2T3*3T4*4T5*5T6</a:t>
          </a:r>
        </a:p>
      </xdr:txBody>
    </xdr:sp>
    <xdr:clientData/>
  </xdr:twoCellAnchor>
  <xdr:twoCellAnchor>
    <xdr:from>
      <xdr:col>16</xdr:col>
      <xdr:colOff>35864</xdr:colOff>
      <xdr:row>46</xdr:row>
      <xdr:rowOff>116538</xdr:rowOff>
    </xdr:from>
    <xdr:to>
      <xdr:col>20</xdr:col>
      <xdr:colOff>170337</xdr:colOff>
      <xdr:row>51</xdr:row>
      <xdr:rowOff>53788</xdr:rowOff>
    </xdr:to>
    <xdr:sp macro="" textlink="">
      <xdr:nvSpPr>
        <xdr:cNvPr id="31" name="Pfeil nach unt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16200000">
          <a:off x="6535276" y="7853079"/>
          <a:ext cx="833720" cy="2088779"/>
        </a:xfrm>
        <a:prstGeom prst="downArrow">
          <a:avLst/>
        </a:prstGeom>
        <a:solidFill>
          <a:schemeClr val="bg1"/>
        </a:solidFill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vert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400">
              <a:solidFill>
                <a:schemeClr val="tx1"/>
              </a:solidFill>
              <a:latin typeface="+mn-lt"/>
              <a:ea typeface="+mn-ea"/>
              <a:cs typeface="+mn-cs"/>
            </a:rPr>
            <a:t>Interim result</a:t>
          </a:r>
        </a:p>
      </xdr:txBody>
    </xdr:sp>
    <xdr:clientData/>
  </xdr:twoCellAnchor>
  <xdr:twoCellAnchor>
    <xdr:from>
      <xdr:col>16</xdr:col>
      <xdr:colOff>53795</xdr:colOff>
      <xdr:row>38</xdr:row>
      <xdr:rowOff>170327</xdr:rowOff>
    </xdr:from>
    <xdr:to>
      <xdr:col>21</xdr:col>
      <xdr:colOff>9</xdr:colOff>
      <xdr:row>43</xdr:row>
      <xdr:rowOff>107577</xdr:rowOff>
    </xdr:to>
    <xdr:sp macro="" textlink="">
      <xdr:nvSpPr>
        <xdr:cNvPr id="32" name="Pfeil nach unt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 rot="16200000">
          <a:off x="6553207" y="6472515"/>
          <a:ext cx="833720" cy="2088779"/>
        </a:xfrm>
        <a:prstGeom prst="downArrow">
          <a:avLst/>
        </a:prstGeom>
        <a:solidFill>
          <a:schemeClr val="bg1"/>
        </a:solidFill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vert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400">
              <a:solidFill>
                <a:schemeClr val="tx1"/>
              </a:solidFill>
              <a:latin typeface="+mn-lt"/>
              <a:ea typeface="+mn-ea"/>
              <a:cs typeface="+mn-cs"/>
            </a:rPr>
            <a:t>Interim result</a:t>
          </a:r>
        </a:p>
      </xdr:txBody>
    </xdr:sp>
    <xdr:clientData/>
  </xdr:twoCellAnchor>
  <xdr:twoCellAnchor>
    <xdr:from>
      <xdr:col>16</xdr:col>
      <xdr:colOff>44831</xdr:colOff>
      <xdr:row>30</xdr:row>
      <xdr:rowOff>152398</xdr:rowOff>
    </xdr:from>
    <xdr:to>
      <xdr:col>20</xdr:col>
      <xdr:colOff>179304</xdr:colOff>
      <xdr:row>35</xdr:row>
      <xdr:rowOff>89648</xdr:rowOff>
    </xdr:to>
    <xdr:sp macro="" textlink="">
      <xdr:nvSpPr>
        <xdr:cNvPr id="33" name="Pfeil nach unt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16200000">
          <a:off x="6544243" y="5020233"/>
          <a:ext cx="833720" cy="2088779"/>
        </a:xfrm>
        <a:prstGeom prst="downArrow">
          <a:avLst/>
        </a:prstGeom>
        <a:solidFill>
          <a:schemeClr val="bg1"/>
        </a:solidFill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vert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400">
              <a:solidFill>
                <a:schemeClr val="tx1"/>
              </a:solidFill>
              <a:latin typeface="+mn-lt"/>
              <a:ea typeface="+mn-ea"/>
              <a:cs typeface="+mn-cs"/>
            </a:rPr>
            <a:t>Interim result</a:t>
          </a:r>
        </a:p>
      </xdr:txBody>
    </xdr:sp>
    <xdr:clientData/>
  </xdr:twoCellAnchor>
  <xdr:twoCellAnchor>
    <xdr:from>
      <xdr:col>16</xdr:col>
      <xdr:colOff>44832</xdr:colOff>
      <xdr:row>22</xdr:row>
      <xdr:rowOff>179292</xdr:rowOff>
    </xdr:from>
    <xdr:to>
      <xdr:col>20</xdr:col>
      <xdr:colOff>179305</xdr:colOff>
      <xdr:row>27</xdr:row>
      <xdr:rowOff>116542</xdr:rowOff>
    </xdr:to>
    <xdr:sp macro="" textlink="">
      <xdr:nvSpPr>
        <xdr:cNvPr id="34" name="Pfeil nach unten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 rot="16200000">
          <a:off x="6544244" y="3612774"/>
          <a:ext cx="833720" cy="2088779"/>
        </a:xfrm>
        <a:prstGeom prst="downArrow">
          <a:avLst/>
        </a:prstGeom>
        <a:solidFill>
          <a:schemeClr val="bg1"/>
        </a:solidFill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t"/>
        <a:lstStyle/>
        <a:p>
          <a:pPr marL="0" indent="0" algn="ctr"/>
          <a:r>
            <a:rPr lang="de-DE" sz="1400">
              <a:solidFill>
                <a:schemeClr val="tx1"/>
              </a:solidFill>
              <a:latin typeface="+mn-lt"/>
              <a:ea typeface="+mn-ea"/>
              <a:cs typeface="+mn-cs"/>
            </a:rPr>
            <a:t>Interim result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AQ63"/>
  <sheetViews>
    <sheetView tabSelected="1" topLeftCell="O46" zoomScale="170" zoomScaleNormal="85" workbookViewId="0">
      <selection activeCell="N12" sqref="N12"/>
    </sheetView>
  </sheetViews>
  <sheetFormatPr baseColWidth="10" defaultColWidth="11.5" defaultRowHeight="15" x14ac:dyDescent="0.2"/>
  <cols>
    <col min="1" max="12" width="2.6640625" customWidth="1"/>
    <col min="13" max="13" width="16.5" customWidth="1"/>
    <col min="14" max="14" width="12.83203125" bestFit="1" customWidth="1"/>
    <col min="15" max="15" width="12.1640625" bestFit="1" customWidth="1"/>
    <col min="16" max="17" width="11.6640625" bestFit="1" customWidth="1"/>
    <col min="18" max="18" width="12" bestFit="1" customWidth="1"/>
    <col min="19" max="21" width="2.6640625" customWidth="1"/>
    <col min="22" max="25" width="13.33203125" customWidth="1"/>
    <col min="28" max="28" width="11.6640625" bestFit="1" customWidth="1"/>
    <col min="29" max="30" width="12.1640625" bestFit="1" customWidth="1"/>
  </cols>
  <sheetData>
    <row r="1" spans="6:18" x14ac:dyDescent="0.2">
      <c r="O1" s="80" t="s">
        <v>6</v>
      </c>
      <c r="P1" s="80"/>
      <c r="Q1" s="80"/>
      <c r="R1" s="80"/>
    </row>
    <row r="2" spans="6:18" x14ac:dyDescent="0.2">
      <c r="O2" s="70" t="s">
        <v>26</v>
      </c>
      <c r="P2" s="70" t="s">
        <v>27</v>
      </c>
      <c r="Q2" s="70"/>
      <c r="R2" s="70"/>
    </row>
    <row r="3" spans="6:18" x14ac:dyDescent="0.2">
      <c r="O3" s="81"/>
      <c r="P3" s="81"/>
      <c r="Q3" s="81"/>
      <c r="R3" s="81"/>
    </row>
    <row r="4" spans="6:18" x14ac:dyDescent="0.2">
      <c r="M4" s="78" t="s">
        <v>34</v>
      </c>
      <c r="N4" s="78"/>
      <c r="O4" s="78"/>
      <c r="P4" s="78"/>
      <c r="Q4" s="78"/>
      <c r="R4" s="78"/>
    </row>
    <row r="5" spans="6:18" ht="17" x14ac:dyDescent="0.2">
      <c r="M5" s="14" t="s">
        <v>0</v>
      </c>
      <c r="N5" s="14" t="s">
        <v>5</v>
      </c>
      <c r="O5" s="14" t="s">
        <v>3</v>
      </c>
      <c r="P5" s="14" t="s">
        <v>1</v>
      </c>
      <c r="Q5" s="14" t="s">
        <v>2</v>
      </c>
      <c r="R5" s="14" t="s">
        <v>4</v>
      </c>
    </row>
    <row r="6" spans="6:18" x14ac:dyDescent="0.2">
      <c r="K6" s="2"/>
      <c r="L6" s="2"/>
      <c r="M6" s="15" t="s">
        <v>7</v>
      </c>
      <c r="N6" s="16">
        <v>0</v>
      </c>
      <c r="O6" s="17">
        <f>RADIANS(N6)</f>
        <v>0</v>
      </c>
      <c r="P6" s="18">
        <v>0</v>
      </c>
      <c r="Q6" s="18">
        <v>8.9159000000000002E-2</v>
      </c>
      <c r="R6" s="17">
        <f>PI()/2</f>
        <v>1.5707963267948966</v>
      </c>
    </row>
    <row r="7" spans="6:18" x14ac:dyDescent="0.2">
      <c r="J7" s="3"/>
      <c r="K7" s="3"/>
      <c r="L7" s="3"/>
      <c r="M7" s="19" t="s">
        <v>8</v>
      </c>
      <c r="N7" s="20">
        <v>0</v>
      </c>
      <c r="O7" s="21">
        <f t="shared" ref="O7:O11" si="0">RADIANS(N7)</f>
        <v>0</v>
      </c>
      <c r="P7" s="22">
        <v>-0.42499999999999999</v>
      </c>
      <c r="Q7" s="22">
        <v>0</v>
      </c>
      <c r="R7" s="21">
        <v>0</v>
      </c>
    </row>
    <row r="8" spans="6:18" x14ac:dyDescent="0.2">
      <c r="I8" s="5"/>
      <c r="J8" s="5"/>
      <c r="K8" s="5"/>
      <c r="L8" s="5"/>
      <c r="M8" s="23" t="s">
        <v>9</v>
      </c>
      <c r="N8" s="24">
        <v>0</v>
      </c>
      <c r="O8" s="25">
        <f t="shared" si="0"/>
        <v>0</v>
      </c>
      <c r="P8" s="26">
        <v>-0.39224999999999999</v>
      </c>
      <c r="Q8" s="26">
        <v>0</v>
      </c>
      <c r="R8" s="25">
        <v>0</v>
      </c>
    </row>
    <row r="9" spans="6:18" x14ac:dyDescent="0.2">
      <c r="H9" s="7"/>
      <c r="I9" s="7"/>
      <c r="J9" s="7"/>
      <c r="K9" s="7"/>
      <c r="L9" s="7"/>
      <c r="M9" s="27" t="s">
        <v>10</v>
      </c>
      <c r="N9" s="28">
        <v>0</v>
      </c>
      <c r="O9" s="29">
        <f t="shared" si="0"/>
        <v>0</v>
      </c>
      <c r="P9" s="30">
        <v>0</v>
      </c>
      <c r="Q9" s="30">
        <v>0.10915</v>
      </c>
      <c r="R9" s="29">
        <f>PI()/2</f>
        <v>1.5707963267948966</v>
      </c>
    </row>
    <row r="10" spans="6:18" x14ac:dyDescent="0.2">
      <c r="G10" s="10"/>
      <c r="H10" s="10"/>
      <c r="I10" s="10"/>
      <c r="J10" s="10"/>
      <c r="K10" s="10"/>
      <c r="L10" s="10"/>
      <c r="M10" s="31" t="s">
        <v>11</v>
      </c>
      <c r="N10" s="32">
        <v>0</v>
      </c>
      <c r="O10" s="33">
        <f t="shared" si="0"/>
        <v>0</v>
      </c>
      <c r="P10" s="34">
        <v>0</v>
      </c>
      <c r="Q10" s="34">
        <v>9.4649999999999998E-2</v>
      </c>
      <c r="R10" s="33">
        <f>(PI()/2)*(-1)</f>
        <v>-1.5707963267948966</v>
      </c>
    </row>
    <row r="11" spans="6:18" x14ac:dyDescent="0.2">
      <c r="F11" s="39"/>
      <c r="G11" s="39"/>
      <c r="H11" s="39"/>
      <c r="I11" s="39"/>
      <c r="J11" s="39"/>
      <c r="K11" s="39"/>
      <c r="L11" s="39"/>
      <c r="M11" s="35" t="s">
        <v>12</v>
      </c>
      <c r="N11" s="36">
        <v>0</v>
      </c>
      <c r="O11" s="37">
        <f t="shared" si="0"/>
        <v>0</v>
      </c>
      <c r="P11" s="38">
        <v>0</v>
      </c>
      <c r="Q11" s="38">
        <v>8.2299999999999998E-2</v>
      </c>
      <c r="R11" s="37">
        <v>0</v>
      </c>
    </row>
    <row r="12" spans="6:18" ht="17" x14ac:dyDescent="0.2">
      <c r="F12" s="82" t="s">
        <v>28</v>
      </c>
      <c r="G12" s="83" t="s">
        <v>29</v>
      </c>
      <c r="H12" s="86" t="s">
        <v>30</v>
      </c>
      <c r="I12" s="85" t="s">
        <v>31</v>
      </c>
      <c r="J12" s="84" t="s">
        <v>32</v>
      </c>
      <c r="K12" s="41" t="s">
        <v>19</v>
      </c>
    </row>
    <row r="13" spans="6:18" x14ac:dyDescent="0.2">
      <c r="F13" s="82"/>
      <c r="G13" s="83"/>
      <c r="H13" s="86"/>
      <c r="I13" s="85"/>
      <c r="J13" s="84"/>
      <c r="K13" s="2"/>
      <c r="L13" s="64"/>
      <c r="M13" s="64"/>
      <c r="N13" s="64"/>
      <c r="O13" s="64"/>
      <c r="P13" s="64"/>
    </row>
    <row r="14" spans="6:18" x14ac:dyDescent="0.2">
      <c r="F14" s="82"/>
      <c r="G14" s="83"/>
      <c r="H14" s="86"/>
      <c r="I14" s="85"/>
      <c r="J14" s="84"/>
      <c r="K14" s="2"/>
      <c r="L14" s="64"/>
      <c r="M14" s="64"/>
      <c r="N14" s="64"/>
      <c r="O14" s="64"/>
      <c r="P14" s="64"/>
    </row>
    <row r="15" spans="6:18" ht="15" customHeight="1" x14ac:dyDescent="0.2">
      <c r="F15" s="82"/>
      <c r="G15" s="83"/>
      <c r="H15" s="86"/>
      <c r="I15" s="85"/>
      <c r="J15" s="84"/>
      <c r="K15" s="2"/>
      <c r="M15" s="79" t="s">
        <v>13</v>
      </c>
      <c r="N15" s="79"/>
      <c r="O15" s="79"/>
      <c r="P15" s="79"/>
    </row>
    <row r="16" spans="6:18" x14ac:dyDescent="0.2">
      <c r="F16" s="82"/>
      <c r="G16" s="83"/>
      <c r="H16" s="86"/>
      <c r="I16" s="85"/>
      <c r="J16" s="84"/>
      <c r="K16" s="2"/>
      <c r="L16" s="2"/>
      <c r="M16" s="1">
        <f>COS(O6)</f>
        <v>1</v>
      </c>
      <c r="N16" s="1">
        <f>-(SIN(O6))*COS(R6)</f>
        <v>0</v>
      </c>
      <c r="O16" s="1">
        <f>SIN(O6)*SIN(R6)</f>
        <v>0</v>
      </c>
      <c r="P16" s="1">
        <f>P6*COS(O6)</f>
        <v>0</v>
      </c>
      <c r="Q16" s="13"/>
    </row>
    <row r="17" spans="6:25" x14ac:dyDescent="0.2">
      <c r="F17" s="82"/>
      <c r="G17" s="83"/>
      <c r="H17" s="86"/>
      <c r="I17" s="85"/>
      <c r="J17" s="84"/>
      <c r="K17" s="2"/>
      <c r="L17" s="77"/>
      <c r="M17" s="1">
        <f>SIN(O6)</f>
        <v>0</v>
      </c>
      <c r="N17" s="1">
        <f>COS(O6)*COS(R6)</f>
        <v>6.123233995736766E-17</v>
      </c>
      <c r="O17" s="1">
        <f>-(COS(O6))*SIN(R6)</f>
        <v>-1</v>
      </c>
      <c r="P17" s="1">
        <f>P6*SIN(O6)</f>
        <v>0</v>
      </c>
      <c r="Q17" s="13"/>
    </row>
    <row r="18" spans="6:25" x14ac:dyDescent="0.2">
      <c r="F18" s="82"/>
      <c r="G18" s="83"/>
      <c r="H18" s="86"/>
      <c r="I18" s="85"/>
      <c r="J18" s="84"/>
      <c r="K18" s="2"/>
      <c r="L18" s="77"/>
      <c r="M18" s="1">
        <v>0</v>
      </c>
      <c r="N18" s="1">
        <f>SIN(R6)</f>
        <v>1</v>
      </c>
      <c r="O18" s="1">
        <f>COS(R6)</f>
        <v>6.123233995736766E-17</v>
      </c>
      <c r="P18" s="1">
        <f>Q6</f>
        <v>8.9159000000000002E-2</v>
      </c>
      <c r="Q18" s="13"/>
    </row>
    <row r="19" spans="6:25" x14ac:dyDescent="0.2">
      <c r="F19" s="82"/>
      <c r="G19" s="83"/>
      <c r="H19" s="86"/>
      <c r="I19" s="85"/>
      <c r="J19" s="84"/>
      <c r="K19" s="2"/>
      <c r="L19" s="2"/>
      <c r="M19" s="1">
        <v>0</v>
      </c>
      <c r="N19" s="1">
        <v>0</v>
      </c>
      <c r="O19" s="1">
        <v>0</v>
      </c>
      <c r="P19" s="1">
        <v>1</v>
      </c>
      <c r="Q19" s="13"/>
    </row>
    <row r="20" spans="6:25" x14ac:dyDescent="0.2">
      <c r="F20" s="82"/>
      <c r="G20" s="83"/>
      <c r="H20" s="86"/>
      <c r="I20" s="85"/>
      <c r="J20" s="84"/>
      <c r="Q20" s="13"/>
      <c r="R20" s="13"/>
      <c r="S20" s="13"/>
      <c r="T20" s="13"/>
      <c r="U20" s="13"/>
    </row>
    <row r="21" spans="6:25" x14ac:dyDescent="0.2">
      <c r="F21" s="82"/>
      <c r="G21" s="83"/>
      <c r="H21" s="86"/>
      <c r="I21" s="85"/>
      <c r="J21" s="3"/>
      <c r="M21" s="64"/>
      <c r="N21" s="64"/>
      <c r="O21" s="64"/>
      <c r="P21" s="64"/>
      <c r="Q21" s="13"/>
      <c r="R21" s="13"/>
      <c r="S21" s="13"/>
      <c r="T21" s="13"/>
      <c r="U21" s="13"/>
    </row>
    <row r="22" spans="6:25" x14ac:dyDescent="0.2">
      <c r="F22" s="82"/>
      <c r="G22" s="83"/>
      <c r="H22" s="86"/>
      <c r="I22" s="85"/>
      <c r="J22" s="3"/>
      <c r="M22" s="64"/>
      <c r="N22" s="64"/>
      <c r="O22" s="64"/>
      <c r="P22" s="64"/>
      <c r="Q22" s="13"/>
      <c r="R22" s="13"/>
      <c r="S22" s="13"/>
      <c r="T22" s="13"/>
      <c r="U22" s="13"/>
    </row>
    <row r="23" spans="6:25" x14ac:dyDescent="0.2">
      <c r="F23" s="82"/>
      <c r="G23" s="83"/>
      <c r="H23" s="86"/>
      <c r="I23" s="85"/>
      <c r="J23" s="3"/>
      <c r="M23" s="79" t="s">
        <v>14</v>
      </c>
      <c r="N23" s="79"/>
      <c r="O23" s="79"/>
      <c r="P23" s="79"/>
      <c r="Q23" s="13"/>
      <c r="R23" s="13"/>
      <c r="S23" s="13"/>
      <c r="T23" s="13"/>
      <c r="U23" s="13"/>
    </row>
    <row r="24" spans="6:25" x14ac:dyDescent="0.2">
      <c r="F24" s="82"/>
      <c r="G24" s="83"/>
      <c r="H24" s="86"/>
      <c r="I24" s="85"/>
      <c r="J24" s="3"/>
      <c r="K24" s="3"/>
      <c r="L24" s="3"/>
      <c r="M24" s="4">
        <f>COS(O7)</f>
        <v>1</v>
      </c>
      <c r="N24" s="4">
        <f>-(SIN(O7))*COS(R7)</f>
        <v>0</v>
      </c>
      <c r="O24" s="4">
        <f>SIN(O7)*SIN(R7)</f>
        <v>0</v>
      </c>
      <c r="P24" s="4">
        <f>P7*COS(O7)</f>
        <v>-0.42499999999999999</v>
      </c>
      <c r="Q24" s="13"/>
      <c r="R24" s="13"/>
      <c r="S24" s="13"/>
      <c r="T24" s="13"/>
      <c r="U24" s="44"/>
      <c r="V24" s="45">
        <f t="array" ref="V24:Y27">MMULT(M16:P19,M24:P27)</f>
        <v>1</v>
      </c>
      <c r="W24" s="45">
        <v>0</v>
      </c>
      <c r="X24" s="45">
        <v>0</v>
      </c>
      <c r="Y24" s="47">
        <v>-0.42499999999999999</v>
      </c>
    </row>
    <row r="25" spans="6:25" x14ac:dyDescent="0.2">
      <c r="F25" s="82"/>
      <c r="G25" s="83"/>
      <c r="H25" s="86"/>
      <c r="I25" s="85"/>
      <c r="J25" s="3"/>
      <c r="K25" s="3"/>
      <c r="L25" s="3"/>
      <c r="M25" s="4">
        <f>SIN(O7)</f>
        <v>0</v>
      </c>
      <c r="N25" s="4">
        <f>COS(O7)*COS(R7)</f>
        <v>1</v>
      </c>
      <c r="O25" s="4">
        <f>-(COS(O7))*SIN(R7)</f>
        <v>0</v>
      </c>
      <c r="P25" s="4">
        <f>P7*SIN(O7)</f>
        <v>0</v>
      </c>
      <c r="Q25" s="13"/>
      <c r="R25" s="13"/>
      <c r="S25" s="13"/>
      <c r="T25" s="13"/>
      <c r="U25" s="44"/>
      <c r="V25" s="45">
        <v>0</v>
      </c>
      <c r="W25" s="45">
        <v>6.123233995736766E-17</v>
      </c>
      <c r="X25" s="45">
        <v>-1</v>
      </c>
      <c r="Y25" s="48">
        <v>0</v>
      </c>
    </row>
    <row r="26" spans="6:25" x14ac:dyDescent="0.2">
      <c r="F26" s="82"/>
      <c r="G26" s="83"/>
      <c r="H26" s="86"/>
      <c r="I26" s="85"/>
      <c r="J26" s="3"/>
      <c r="K26" s="3"/>
      <c r="L26" s="3"/>
      <c r="M26" s="4">
        <v>0</v>
      </c>
      <c r="N26" s="4">
        <f>SIN(R7)</f>
        <v>0</v>
      </c>
      <c r="O26" s="4">
        <f>COS(R7)</f>
        <v>1</v>
      </c>
      <c r="P26" s="4">
        <f>Q7</f>
        <v>0</v>
      </c>
      <c r="Q26" s="13"/>
      <c r="R26" s="13"/>
      <c r="S26" s="13"/>
      <c r="T26" s="13"/>
      <c r="U26" s="44"/>
      <c r="V26" s="45">
        <v>0</v>
      </c>
      <c r="W26" s="45">
        <v>1</v>
      </c>
      <c r="X26" s="45">
        <v>6.123233995736766E-17</v>
      </c>
      <c r="Y26" s="49">
        <v>8.9159000000000002E-2</v>
      </c>
    </row>
    <row r="27" spans="6:25" x14ac:dyDescent="0.2">
      <c r="F27" s="82"/>
      <c r="G27" s="83"/>
      <c r="H27" s="86"/>
      <c r="I27" s="85"/>
      <c r="J27" s="3"/>
      <c r="K27" s="3"/>
      <c r="L27" s="3"/>
      <c r="M27" s="4">
        <v>0</v>
      </c>
      <c r="N27" s="4">
        <v>0</v>
      </c>
      <c r="O27" s="4">
        <v>0</v>
      </c>
      <c r="P27" s="4">
        <v>1</v>
      </c>
      <c r="Q27" s="13"/>
      <c r="R27" s="13"/>
      <c r="S27" s="13"/>
      <c r="T27" s="13"/>
      <c r="U27" s="44"/>
      <c r="V27" s="45">
        <v>0</v>
      </c>
      <c r="W27" s="45">
        <v>0</v>
      </c>
      <c r="X27" s="45">
        <v>0</v>
      </c>
      <c r="Y27" s="45">
        <v>1</v>
      </c>
    </row>
    <row r="28" spans="6:25" x14ac:dyDescent="0.2">
      <c r="F28" s="82"/>
      <c r="G28" s="83"/>
      <c r="H28" s="86"/>
      <c r="I28" s="85"/>
      <c r="Q28" s="13"/>
      <c r="R28" s="13"/>
      <c r="S28" s="13"/>
      <c r="T28" s="13"/>
      <c r="U28" s="13"/>
      <c r="V28" s="46"/>
      <c r="W28" s="46"/>
      <c r="X28" s="46"/>
      <c r="Y28" s="46"/>
    </row>
    <row r="29" spans="6:25" x14ac:dyDescent="0.2">
      <c r="F29" s="82"/>
      <c r="G29" s="83"/>
      <c r="H29" s="86"/>
      <c r="I29" s="40"/>
      <c r="M29" s="64"/>
      <c r="N29" s="64"/>
      <c r="O29" s="64"/>
      <c r="P29" s="64"/>
      <c r="Q29" s="13"/>
      <c r="R29" s="13"/>
      <c r="S29" s="13"/>
      <c r="T29" s="13"/>
      <c r="U29" s="13"/>
      <c r="V29" s="46"/>
      <c r="W29" s="46"/>
      <c r="X29" s="46"/>
      <c r="Y29" s="46"/>
    </row>
    <row r="30" spans="6:25" x14ac:dyDescent="0.2">
      <c r="F30" s="82"/>
      <c r="G30" s="83"/>
      <c r="H30" s="86"/>
      <c r="I30" s="5"/>
      <c r="M30" s="64"/>
      <c r="N30" s="64"/>
      <c r="O30" s="64"/>
      <c r="P30" s="64"/>
      <c r="Q30" s="13"/>
      <c r="R30" s="13"/>
      <c r="S30" s="13"/>
      <c r="T30" s="13"/>
      <c r="U30" s="13"/>
      <c r="V30" s="46"/>
      <c r="W30" s="46"/>
      <c r="X30" s="46"/>
      <c r="Y30" s="46"/>
    </row>
    <row r="31" spans="6:25" x14ac:dyDescent="0.2">
      <c r="F31" s="82"/>
      <c r="G31" s="83"/>
      <c r="H31" s="86"/>
      <c r="I31" s="5"/>
      <c r="M31" s="79" t="s">
        <v>15</v>
      </c>
      <c r="N31" s="79"/>
      <c r="O31" s="79"/>
      <c r="P31" s="79"/>
      <c r="Q31" s="13"/>
      <c r="R31" s="13"/>
      <c r="S31" s="13"/>
      <c r="T31" s="13"/>
      <c r="U31" s="13"/>
      <c r="V31" s="46"/>
      <c r="W31" s="46"/>
      <c r="X31" s="46"/>
      <c r="Y31" s="46"/>
    </row>
    <row r="32" spans="6:25" x14ac:dyDescent="0.2">
      <c r="F32" s="82"/>
      <c r="G32" s="83"/>
      <c r="H32" s="86"/>
      <c r="I32" s="5"/>
      <c r="J32" s="5"/>
      <c r="K32" s="5"/>
      <c r="L32" s="5"/>
      <c r="M32" s="6">
        <f>COS(O8)</f>
        <v>1</v>
      </c>
      <c r="N32" s="6">
        <f>-(SIN(O8))*COS(R8)</f>
        <v>0</v>
      </c>
      <c r="O32" s="6">
        <f>SIN(O8)*SIN(R8)</f>
        <v>0</v>
      </c>
      <c r="P32" s="6">
        <f>P8*COS(O8)</f>
        <v>-0.39224999999999999</v>
      </c>
      <c r="Q32" s="13"/>
      <c r="R32" s="13"/>
      <c r="S32" s="13"/>
      <c r="T32" s="13"/>
      <c r="U32" s="13"/>
      <c r="V32" s="45">
        <f t="array" ref="V32:Y35">MMULT(V24:Y27,M32:P35)</f>
        <v>1</v>
      </c>
      <c r="W32" s="45">
        <v>0</v>
      </c>
      <c r="X32" s="45">
        <v>0</v>
      </c>
      <c r="Y32" s="47">
        <v>-0.81725000000000003</v>
      </c>
    </row>
    <row r="33" spans="6:43" x14ac:dyDescent="0.2">
      <c r="F33" s="82"/>
      <c r="G33" s="83"/>
      <c r="H33" s="86"/>
      <c r="I33" s="5"/>
      <c r="J33" s="5"/>
      <c r="K33" s="5"/>
      <c r="L33" s="5"/>
      <c r="M33" s="6">
        <f>SIN(O8)</f>
        <v>0</v>
      </c>
      <c r="N33" s="6">
        <f>COS(O8)*COS(R8)</f>
        <v>1</v>
      </c>
      <c r="O33" s="6">
        <f>-(COS(O8))*SIN(R8)</f>
        <v>0</v>
      </c>
      <c r="P33" s="6">
        <f>P8*SIN(O8)</f>
        <v>0</v>
      </c>
      <c r="Q33" s="13"/>
      <c r="R33" s="13"/>
      <c r="S33" s="13"/>
      <c r="T33" s="13"/>
      <c r="U33" s="13"/>
      <c r="V33" s="45">
        <v>0</v>
      </c>
      <c r="W33" s="45">
        <v>6.123233995736766E-17</v>
      </c>
      <c r="X33" s="45">
        <v>-1</v>
      </c>
      <c r="Y33" s="48">
        <v>0</v>
      </c>
    </row>
    <row r="34" spans="6:43" x14ac:dyDescent="0.2">
      <c r="F34" s="82"/>
      <c r="G34" s="83"/>
      <c r="H34" s="86"/>
      <c r="I34" s="5"/>
      <c r="J34" s="5"/>
      <c r="K34" s="5"/>
      <c r="L34" s="5"/>
      <c r="M34" s="6">
        <v>0</v>
      </c>
      <c r="N34" s="6">
        <f>SIN(R8)</f>
        <v>0</v>
      </c>
      <c r="O34" s="6">
        <f>COS(R8)</f>
        <v>1</v>
      </c>
      <c r="P34" s="6">
        <f>Q8</f>
        <v>0</v>
      </c>
      <c r="Q34" s="13"/>
      <c r="R34" s="13"/>
      <c r="S34" s="13"/>
      <c r="T34" s="13"/>
      <c r="U34" s="13"/>
      <c r="V34" s="45">
        <v>0</v>
      </c>
      <c r="W34" s="45">
        <v>1</v>
      </c>
      <c r="X34" s="45">
        <v>6.123233995736766E-17</v>
      </c>
      <c r="Y34" s="49">
        <v>8.9159000000000002E-2</v>
      </c>
    </row>
    <row r="35" spans="6:43" x14ac:dyDescent="0.2">
      <c r="F35" s="82"/>
      <c r="G35" s="83"/>
      <c r="H35" s="86"/>
      <c r="I35" s="5"/>
      <c r="J35" s="5"/>
      <c r="K35" s="5"/>
      <c r="L35" s="5"/>
      <c r="M35" s="6">
        <v>0</v>
      </c>
      <c r="N35" s="6">
        <v>0</v>
      </c>
      <c r="O35" s="6">
        <v>0</v>
      </c>
      <c r="P35" s="6">
        <v>1</v>
      </c>
      <c r="Q35" s="13"/>
      <c r="R35" s="13"/>
      <c r="S35" s="13"/>
      <c r="T35" s="13"/>
      <c r="U35" s="13"/>
      <c r="V35" s="45">
        <v>0</v>
      </c>
      <c r="W35" s="45">
        <v>0</v>
      </c>
      <c r="X35" s="45">
        <v>0</v>
      </c>
      <c r="Y35" s="45">
        <v>1</v>
      </c>
    </row>
    <row r="36" spans="6:43" x14ac:dyDescent="0.2">
      <c r="F36" s="82"/>
      <c r="G36" s="83"/>
      <c r="H36" s="86"/>
      <c r="V36" s="46"/>
      <c r="W36" s="46"/>
      <c r="X36" s="46"/>
      <c r="Y36" s="46"/>
    </row>
    <row r="37" spans="6:43" ht="16" thickBot="1" x14ac:dyDescent="0.25">
      <c r="F37" s="82"/>
      <c r="G37" s="83"/>
      <c r="H37" s="7"/>
      <c r="M37" s="64"/>
      <c r="N37" s="64"/>
      <c r="O37" s="64"/>
      <c r="P37" s="64"/>
      <c r="V37" s="46"/>
      <c r="W37" s="46"/>
      <c r="X37" s="46"/>
      <c r="Y37" s="46"/>
    </row>
    <row r="38" spans="6:43" x14ac:dyDescent="0.2">
      <c r="F38" s="82"/>
      <c r="G38" s="83"/>
      <c r="H38" s="7"/>
      <c r="M38" s="64"/>
      <c r="N38" s="64"/>
      <c r="O38" s="64"/>
      <c r="P38" s="64"/>
      <c r="V38" s="46"/>
      <c r="W38" s="46"/>
      <c r="X38" s="46"/>
      <c r="Y38" s="46"/>
      <c r="AB38" s="50" t="s">
        <v>20</v>
      </c>
      <c r="AC38" s="50" t="s">
        <v>21</v>
      </c>
      <c r="AD38" s="50" t="s">
        <v>22</v>
      </c>
      <c r="AG38" s="66" t="s">
        <v>33</v>
      </c>
      <c r="AH38" s="67"/>
      <c r="AI38" s="67"/>
      <c r="AJ38" s="67"/>
      <c r="AK38" s="67"/>
      <c r="AL38" s="67"/>
      <c r="AM38" s="67"/>
      <c r="AN38" s="67"/>
      <c r="AO38" s="67"/>
      <c r="AP38" s="67"/>
      <c r="AQ38" s="68"/>
    </row>
    <row r="39" spans="6:43" x14ac:dyDescent="0.2">
      <c r="F39" s="82"/>
      <c r="G39" s="83"/>
      <c r="H39" s="7"/>
      <c r="M39" s="79" t="s">
        <v>16</v>
      </c>
      <c r="N39" s="79"/>
      <c r="O39" s="79"/>
      <c r="P39" s="79"/>
      <c r="V39" s="46"/>
      <c r="W39" s="46"/>
      <c r="X39" s="46"/>
      <c r="Y39" s="46"/>
      <c r="AB39" s="50">
        <f>P16</f>
        <v>0</v>
      </c>
      <c r="AC39" s="50">
        <f>P17</f>
        <v>0</v>
      </c>
      <c r="AD39" s="50">
        <f>P18</f>
        <v>8.9159000000000002E-2</v>
      </c>
      <c r="AG39" s="69"/>
      <c r="AH39" s="70"/>
      <c r="AI39" s="70"/>
      <c r="AJ39" s="70"/>
      <c r="AK39" s="70"/>
      <c r="AL39" s="70"/>
      <c r="AM39" s="70"/>
      <c r="AN39" s="70"/>
      <c r="AO39" s="70"/>
      <c r="AP39" s="70"/>
      <c r="AQ39" s="71"/>
    </row>
    <row r="40" spans="6:43" x14ac:dyDescent="0.2">
      <c r="F40" s="82"/>
      <c r="G40" s="83"/>
      <c r="H40" s="7"/>
      <c r="I40" s="7"/>
      <c r="J40" s="7"/>
      <c r="K40" s="7"/>
      <c r="L40" s="7"/>
      <c r="M40" s="8">
        <f>COS(O9)</f>
        <v>1</v>
      </c>
      <c r="N40" s="8">
        <f>-(SIN(O9))*COS(R9)</f>
        <v>0</v>
      </c>
      <c r="O40" s="8">
        <f>SIN(O9)*SIN(R9)</f>
        <v>0</v>
      </c>
      <c r="P40" s="8">
        <f>P9*COS(O9)</f>
        <v>0</v>
      </c>
      <c r="V40" s="45">
        <f t="array" ref="V40:Y43">MMULT(V32:Y35,M40:P43)</f>
        <v>1</v>
      </c>
      <c r="W40" s="45">
        <v>0</v>
      </c>
      <c r="X40" s="45">
        <v>0</v>
      </c>
      <c r="Y40" s="47">
        <v>-0.81725000000000003</v>
      </c>
      <c r="AB40" s="51">
        <f>Y24</f>
        <v>-0.42499999999999999</v>
      </c>
      <c r="AC40" s="51">
        <f>Y25</f>
        <v>0</v>
      </c>
      <c r="AD40" s="51">
        <f>Y26</f>
        <v>8.9159000000000002E-2</v>
      </c>
      <c r="AG40" s="69"/>
      <c r="AH40" s="70"/>
      <c r="AI40" s="70"/>
      <c r="AJ40" s="70"/>
      <c r="AK40" s="70"/>
      <c r="AL40" s="70"/>
      <c r="AM40" s="70"/>
      <c r="AN40" s="70"/>
      <c r="AO40" s="70"/>
      <c r="AP40" s="70"/>
      <c r="AQ40" s="71"/>
    </row>
    <row r="41" spans="6:43" x14ac:dyDescent="0.2">
      <c r="F41" s="82"/>
      <c r="G41" s="83"/>
      <c r="H41" s="7"/>
      <c r="I41" s="7"/>
      <c r="J41" s="7"/>
      <c r="K41" s="7"/>
      <c r="L41" s="7"/>
      <c r="M41" s="8">
        <f>SIN(O9)</f>
        <v>0</v>
      </c>
      <c r="N41" s="8">
        <f>COS(O9)*COS(R9)</f>
        <v>6.123233995736766E-17</v>
      </c>
      <c r="O41" s="8">
        <f>-(COS(O9))*SIN(R9)</f>
        <v>-1</v>
      </c>
      <c r="P41" s="8">
        <f>P9*SIN(O9)</f>
        <v>0</v>
      </c>
      <c r="V41" s="45">
        <v>0</v>
      </c>
      <c r="W41" s="45">
        <v>-1</v>
      </c>
      <c r="X41" s="45">
        <v>-1.2246467991473532E-16</v>
      </c>
      <c r="Y41" s="48">
        <v>-0.10915</v>
      </c>
      <c r="AB41" s="51">
        <f>Y32</f>
        <v>-0.81725000000000003</v>
      </c>
      <c r="AC41" s="51">
        <f>Y33</f>
        <v>0</v>
      </c>
      <c r="AD41" s="51">
        <f>Y34</f>
        <v>8.9159000000000002E-2</v>
      </c>
      <c r="AG41" s="69"/>
      <c r="AH41" s="70"/>
      <c r="AI41" s="70"/>
      <c r="AJ41" s="70"/>
      <c r="AK41" s="70"/>
      <c r="AL41" s="70"/>
      <c r="AM41" s="70"/>
      <c r="AN41" s="70"/>
      <c r="AO41" s="70"/>
      <c r="AP41" s="70"/>
      <c r="AQ41" s="71"/>
    </row>
    <row r="42" spans="6:43" ht="16" thickBot="1" x14ac:dyDescent="0.25">
      <c r="F42" s="82"/>
      <c r="G42" s="83"/>
      <c r="H42" s="7"/>
      <c r="I42" s="7"/>
      <c r="J42" s="7"/>
      <c r="K42" s="7"/>
      <c r="L42" s="7"/>
      <c r="M42" s="8">
        <v>0</v>
      </c>
      <c r="N42" s="8">
        <f>SIN(R9)</f>
        <v>1</v>
      </c>
      <c r="O42" s="8">
        <f>COS(R9)</f>
        <v>6.123233995736766E-17</v>
      </c>
      <c r="P42" s="9">
        <f>Q9</f>
        <v>0.10915</v>
      </c>
      <c r="V42" s="45">
        <v>0</v>
      </c>
      <c r="W42" s="45">
        <v>1.2246467991473532E-16</v>
      </c>
      <c r="X42" s="45">
        <v>-1</v>
      </c>
      <c r="Y42" s="49">
        <v>8.9159000000000002E-2</v>
      </c>
      <c r="AB42" s="51">
        <f>Y40</f>
        <v>-0.81725000000000003</v>
      </c>
      <c r="AC42" s="51">
        <f>Y41</f>
        <v>-0.10915</v>
      </c>
      <c r="AD42" s="51">
        <f>Y42</f>
        <v>8.9159000000000002E-2</v>
      </c>
      <c r="AG42" s="72"/>
      <c r="AH42" s="73"/>
      <c r="AI42" s="73"/>
      <c r="AJ42" s="73"/>
      <c r="AK42" s="73"/>
      <c r="AL42" s="73"/>
      <c r="AM42" s="73"/>
      <c r="AN42" s="73"/>
      <c r="AO42" s="73"/>
      <c r="AP42" s="73"/>
      <c r="AQ42" s="74"/>
    </row>
    <row r="43" spans="6:43" x14ac:dyDescent="0.2">
      <c r="F43" s="82"/>
      <c r="G43" s="83"/>
      <c r="H43" s="7"/>
      <c r="I43" s="7"/>
      <c r="J43" s="7"/>
      <c r="K43" s="7"/>
      <c r="L43" s="7"/>
      <c r="M43" s="8">
        <v>0</v>
      </c>
      <c r="N43" s="8">
        <v>0</v>
      </c>
      <c r="O43" s="8">
        <v>0</v>
      </c>
      <c r="P43" s="8">
        <v>1</v>
      </c>
      <c r="V43" s="45">
        <v>0</v>
      </c>
      <c r="W43" s="45">
        <v>0</v>
      </c>
      <c r="X43" s="45">
        <v>0</v>
      </c>
      <c r="Y43" s="45">
        <v>1</v>
      </c>
      <c r="AB43" s="51">
        <f>Y48</f>
        <v>-0.81725000000000003</v>
      </c>
      <c r="AC43" s="51">
        <f>Y49</f>
        <v>-0.10915000000000001</v>
      </c>
      <c r="AD43" s="51">
        <f>Y50</f>
        <v>-5.4909999999999959E-3</v>
      </c>
    </row>
    <row r="44" spans="6:43" x14ac:dyDescent="0.2">
      <c r="F44" s="82"/>
      <c r="G44" s="83"/>
      <c r="V44" s="46"/>
      <c r="W44" s="46"/>
      <c r="X44" s="46"/>
      <c r="Y44" s="46"/>
      <c r="AB44" s="51">
        <f>Y56</f>
        <v>-0.81725000000000003</v>
      </c>
      <c r="AC44" s="51">
        <f>Y57</f>
        <v>-0.19145000000000001</v>
      </c>
      <c r="AD44" s="51">
        <f>Y58</f>
        <v>-5.4909999999999907E-3</v>
      </c>
    </row>
    <row r="45" spans="6:43" x14ac:dyDescent="0.2">
      <c r="F45" s="82"/>
      <c r="G45" s="10"/>
      <c r="M45" s="64"/>
      <c r="N45" s="64"/>
      <c r="O45" s="64"/>
      <c r="P45" s="64"/>
      <c r="V45" s="46"/>
      <c r="W45" s="46"/>
      <c r="X45" s="46"/>
      <c r="Y45" s="46"/>
    </row>
    <row r="46" spans="6:43" x14ac:dyDescent="0.2">
      <c r="F46" s="82"/>
      <c r="G46" s="10"/>
      <c r="M46" s="64"/>
      <c r="N46" s="64"/>
      <c r="O46" s="64"/>
      <c r="P46" s="64"/>
      <c r="V46" s="46"/>
      <c r="W46" s="46"/>
      <c r="X46" s="46"/>
      <c r="Y46" s="46"/>
    </row>
    <row r="47" spans="6:43" x14ac:dyDescent="0.2">
      <c r="F47" s="82"/>
      <c r="G47" s="10"/>
      <c r="M47" s="79" t="s">
        <v>17</v>
      </c>
      <c r="N47" s="79"/>
      <c r="O47" s="79"/>
      <c r="P47" s="79"/>
      <c r="V47" s="46"/>
      <c r="W47" s="46"/>
      <c r="X47" s="46"/>
      <c r="Y47" s="46"/>
      <c r="AB47" s="50" t="s">
        <v>23</v>
      </c>
      <c r="AC47" s="50" t="s">
        <v>24</v>
      </c>
      <c r="AD47" s="50" t="s">
        <v>25</v>
      </c>
    </row>
    <row r="48" spans="6:43" x14ac:dyDescent="0.2">
      <c r="F48" s="82"/>
      <c r="G48" s="10"/>
      <c r="H48" s="10"/>
      <c r="I48" s="10"/>
      <c r="J48" s="10"/>
      <c r="K48" s="10"/>
      <c r="L48" s="10"/>
      <c r="M48" s="11">
        <f>COS(O10)</f>
        <v>1</v>
      </c>
      <c r="N48" s="11">
        <f>-(SIN(O10))*COS(R10)</f>
        <v>0</v>
      </c>
      <c r="O48" s="11">
        <f>SIN(O10)*SIN(R10)</f>
        <v>0</v>
      </c>
      <c r="P48" s="11">
        <f>P10*COS(O10)</f>
        <v>0</v>
      </c>
      <c r="V48" s="45">
        <f t="array" ref="V48:Y51">MMULT(V40:Y43,M48:P51)</f>
        <v>1</v>
      </c>
      <c r="W48" s="45">
        <v>0</v>
      </c>
      <c r="X48" s="45">
        <v>0</v>
      </c>
      <c r="Y48" s="47">
        <v>-0.81725000000000003</v>
      </c>
      <c r="AB48" s="51">
        <f>ATAN2(-V58,SQRT(POWER(V56,2)+POWER(V57,2)))</f>
        <v>1.5707963267948966</v>
      </c>
      <c r="AC48" s="51">
        <f>ATAN2(V57/COS(AB48),V56/COS(AB48))</f>
        <v>1.5707963267948966</v>
      </c>
      <c r="AD48" s="51">
        <f>ATAN2(W58/COS(AB48),X58/COS(AB48))</f>
        <v>6.123233995736766E-17</v>
      </c>
    </row>
    <row r="49" spans="6:30" x14ac:dyDescent="0.2">
      <c r="F49" s="82"/>
      <c r="G49" s="10"/>
      <c r="H49" s="10"/>
      <c r="I49" s="10"/>
      <c r="J49" s="10"/>
      <c r="K49" s="10"/>
      <c r="L49" s="10"/>
      <c r="M49" s="11">
        <f>SIN(O10)</f>
        <v>0</v>
      </c>
      <c r="N49" s="11">
        <f>COS(O10)*COS(R10)</f>
        <v>6.123233995736766E-17</v>
      </c>
      <c r="O49" s="11">
        <f>-(COS(O10))*SIN(R10)</f>
        <v>1</v>
      </c>
      <c r="P49" s="11">
        <f>P10*SIN(O10)</f>
        <v>0</v>
      </c>
      <c r="V49" s="45">
        <v>0</v>
      </c>
      <c r="W49" s="45">
        <v>6.123233995736766E-17</v>
      </c>
      <c r="X49" s="45">
        <v>-1</v>
      </c>
      <c r="Y49" s="48">
        <v>-0.10915000000000001</v>
      </c>
      <c r="AB49" s="51">
        <f>DEGREES(AB48)</f>
        <v>90</v>
      </c>
      <c r="AC49" s="51">
        <f>DEGREES(AC48)</f>
        <v>90</v>
      </c>
      <c r="AD49" s="51">
        <f>DEGREES(AD48)</f>
        <v>3.508354649267438E-15</v>
      </c>
    </row>
    <row r="50" spans="6:30" x14ac:dyDescent="0.2">
      <c r="F50" s="82"/>
      <c r="G50" s="10"/>
      <c r="H50" s="10"/>
      <c r="I50" s="10"/>
      <c r="J50" s="10"/>
      <c r="K50" s="10"/>
      <c r="L50" s="10"/>
      <c r="M50" s="11">
        <v>0</v>
      </c>
      <c r="N50" s="11">
        <f>SIN(R10)</f>
        <v>-1</v>
      </c>
      <c r="O50" s="11">
        <f>COS(R10)</f>
        <v>6.123233995736766E-17</v>
      </c>
      <c r="P50" s="12">
        <f>Q10</f>
        <v>9.4649999999999998E-2</v>
      </c>
      <c r="V50" s="45">
        <v>0</v>
      </c>
      <c r="W50" s="45">
        <v>1</v>
      </c>
      <c r="X50" s="45">
        <v>6.123233995736766E-17</v>
      </c>
      <c r="Y50" s="49">
        <v>-5.4909999999999959E-3</v>
      </c>
    </row>
    <row r="51" spans="6:30" x14ac:dyDescent="0.2">
      <c r="F51" s="82"/>
      <c r="G51" s="10"/>
      <c r="H51" s="10"/>
      <c r="I51" s="10"/>
      <c r="J51" s="10"/>
      <c r="K51" s="10"/>
      <c r="L51" s="10"/>
      <c r="M51" s="11">
        <v>0</v>
      </c>
      <c r="N51" s="11">
        <v>0</v>
      </c>
      <c r="O51" s="11">
        <v>0</v>
      </c>
      <c r="P51" s="11">
        <v>1</v>
      </c>
      <c r="V51" s="45">
        <v>0</v>
      </c>
      <c r="W51" s="45">
        <v>0</v>
      </c>
      <c r="X51" s="45">
        <v>0</v>
      </c>
      <c r="Y51" s="45">
        <v>1</v>
      </c>
    </row>
    <row r="52" spans="6:30" x14ac:dyDescent="0.2">
      <c r="F52" s="82"/>
      <c r="V52" s="46"/>
      <c r="W52" s="46"/>
      <c r="X52" s="46"/>
      <c r="Y52" s="46"/>
    </row>
    <row r="53" spans="6:30" x14ac:dyDescent="0.2">
      <c r="F53" s="39"/>
      <c r="M53" s="65" t="s">
        <v>18</v>
      </c>
      <c r="N53" s="65"/>
      <c r="O53" s="65"/>
      <c r="P53" s="65"/>
      <c r="V53" s="46"/>
      <c r="W53" s="46"/>
      <c r="X53" s="46"/>
      <c r="Y53" s="46"/>
    </row>
    <row r="54" spans="6:30" x14ac:dyDescent="0.2">
      <c r="F54" s="39"/>
      <c r="M54" s="65"/>
      <c r="N54" s="65"/>
      <c r="O54" s="65"/>
      <c r="P54" s="65"/>
      <c r="V54" s="46"/>
      <c r="W54" s="46"/>
      <c r="X54" s="46"/>
      <c r="Y54" s="46"/>
    </row>
    <row r="55" spans="6:30" ht="16" thickBot="1" x14ac:dyDescent="0.25">
      <c r="F55" s="39"/>
      <c r="M55" s="75" t="s">
        <v>18</v>
      </c>
      <c r="N55" s="76"/>
      <c r="O55" s="76"/>
      <c r="P55" s="76"/>
      <c r="V55" s="46"/>
      <c r="W55" s="46"/>
      <c r="X55" s="46"/>
      <c r="Y55" s="46"/>
    </row>
    <row r="56" spans="6:30" x14ac:dyDescent="0.2">
      <c r="F56" s="39"/>
      <c r="G56" s="39"/>
      <c r="H56" s="39"/>
      <c r="I56" s="39"/>
      <c r="J56" s="39"/>
      <c r="K56" s="39"/>
      <c r="L56" s="39"/>
      <c r="M56" s="42">
        <f>COS(O11)</f>
        <v>1</v>
      </c>
      <c r="N56" s="42">
        <f>-(SIN(O11))*COS(R11)</f>
        <v>0</v>
      </c>
      <c r="O56" s="42">
        <f>SIN(O11)*SIN(R11)</f>
        <v>0</v>
      </c>
      <c r="P56" s="42">
        <f>P11*COS(O11)</f>
        <v>0</v>
      </c>
      <c r="V56" s="56">
        <f t="array" ref="V56:Y59">MMULT(V48:Y51,M56:P59)</f>
        <v>1</v>
      </c>
      <c r="W56" s="57">
        <v>0</v>
      </c>
      <c r="X56" s="58">
        <v>0</v>
      </c>
      <c r="Y56" s="52">
        <v>-0.81725000000000003</v>
      </c>
    </row>
    <row r="57" spans="6:30" x14ac:dyDescent="0.2">
      <c r="F57" s="39"/>
      <c r="G57" s="39"/>
      <c r="H57" s="39"/>
      <c r="I57" s="39"/>
      <c r="J57" s="39"/>
      <c r="K57" s="39"/>
      <c r="L57" s="39"/>
      <c r="M57" s="42">
        <f>SIN(O11)</f>
        <v>0</v>
      </c>
      <c r="N57" s="42">
        <f>COS(O11)*COS(R11)</f>
        <v>1</v>
      </c>
      <c r="O57" s="42">
        <f>-(COS(O11))*SIN(R11)</f>
        <v>0</v>
      </c>
      <c r="P57" s="42">
        <f>P11*SIN(O11)</f>
        <v>0</v>
      </c>
      <c r="V57" s="59">
        <v>0</v>
      </c>
      <c r="W57" s="45">
        <v>6.123233995736766E-17</v>
      </c>
      <c r="X57" s="60">
        <v>-1</v>
      </c>
      <c r="Y57" s="53">
        <v>-0.19145000000000001</v>
      </c>
    </row>
    <row r="58" spans="6:30" ht="16" thickBot="1" x14ac:dyDescent="0.25">
      <c r="F58" s="39"/>
      <c r="G58" s="39"/>
      <c r="H58" s="39"/>
      <c r="I58" s="39"/>
      <c r="J58" s="39"/>
      <c r="K58" s="39"/>
      <c r="L58" s="39"/>
      <c r="M58" s="42">
        <v>0</v>
      </c>
      <c r="N58" s="42">
        <f>SIN(R11)</f>
        <v>0</v>
      </c>
      <c r="O58" s="42">
        <f>COS(R11)</f>
        <v>1</v>
      </c>
      <c r="P58" s="43">
        <f>Q11</f>
        <v>8.2299999999999998E-2</v>
      </c>
      <c r="V58" s="61">
        <v>0</v>
      </c>
      <c r="W58" s="62">
        <v>1</v>
      </c>
      <c r="X58" s="63">
        <v>6.123233995736766E-17</v>
      </c>
      <c r="Y58" s="54">
        <v>-5.4909999999999907E-3</v>
      </c>
    </row>
    <row r="59" spans="6:30" x14ac:dyDescent="0.2">
      <c r="F59" s="39"/>
      <c r="G59" s="39"/>
      <c r="H59" s="39"/>
      <c r="I59" s="39"/>
      <c r="J59" s="39"/>
      <c r="K59" s="39"/>
      <c r="L59" s="39"/>
      <c r="M59" s="42">
        <v>0</v>
      </c>
      <c r="N59" s="42">
        <v>0</v>
      </c>
      <c r="O59" s="42">
        <v>0</v>
      </c>
      <c r="P59" s="42">
        <v>1</v>
      </c>
      <c r="V59" s="55">
        <v>0</v>
      </c>
      <c r="W59" s="55">
        <v>0</v>
      </c>
      <c r="X59" s="55">
        <v>0</v>
      </c>
      <c r="Y59" s="45">
        <v>1</v>
      </c>
    </row>
    <row r="63" spans="6:30" ht="15" customHeight="1" x14ac:dyDescent="0.2"/>
  </sheetData>
  <mergeCells count="17">
    <mergeCell ref="O1:R1"/>
    <mergeCell ref="P2:R3"/>
    <mergeCell ref="O2:O3"/>
    <mergeCell ref="F12:F52"/>
    <mergeCell ref="G12:G44"/>
    <mergeCell ref="J12:J20"/>
    <mergeCell ref="I12:I28"/>
    <mergeCell ref="H12:H36"/>
    <mergeCell ref="AG38:AQ42"/>
    <mergeCell ref="M55:P55"/>
    <mergeCell ref="L17:L18"/>
    <mergeCell ref="M4:R4"/>
    <mergeCell ref="M15:P15"/>
    <mergeCell ref="M23:P23"/>
    <mergeCell ref="M31:P31"/>
    <mergeCell ref="M39:P39"/>
    <mergeCell ref="M47:P47"/>
  </mergeCells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19</xdr:col>
                    <xdr:colOff>0</xdr:colOff>
                    <xdr:row>5</xdr:row>
                    <xdr:rowOff>0</xdr:rowOff>
                  </from>
                  <to>
                    <xdr:col>24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croll Bar 3">
              <controlPr defaultSize="0" autoPict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Scroll Bar 4">
              <controlPr defaultSize="0" autoPict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Scroll Bar 5">
              <controlPr defaultSize="0" autoPict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Scroll Bar 6">
              <controlPr defaultSize="0" autoPict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Scroll Bar 7">
              <controlPr defaultSize="0" autoPict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24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Krüger</dc:creator>
  <cp:keywords>UR</cp:keywords>
  <cp:lastModifiedBy>Vasilis Skarleas</cp:lastModifiedBy>
  <dcterms:created xsi:type="dcterms:W3CDTF">2020-12-06T08:38:09Z</dcterms:created>
  <dcterms:modified xsi:type="dcterms:W3CDTF">2026-03-11T22:35:16Z</dcterms:modified>
  <cp:contentStatus/>
</cp:coreProperties>
</file>